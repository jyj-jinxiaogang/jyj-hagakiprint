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喜紅\Desktop\"/>
    </mc:Choice>
  </mc:AlternateContent>
  <bookViews>
    <workbookView xWindow="15" yWindow="0" windowWidth="300" windowHeight="135"/>
  </bookViews>
  <sheets>
    <sheet name="費用登録" sheetId="2" r:id="rId1"/>
    <sheet name="印刷" sheetId="4" r:id="rId2"/>
    <sheet name="設定" sheetId="3" r:id="rId3"/>
    <sheet name="印刷状況" sheetId="5" r:id="rId4"/>
    <sheet name="スケジュール" sheetId="6" r:id="rId5"/>
    <sheet name="スケジュール印刷" sheetId="7" r:id="rId6"/>
  </sheets>
  <calcPr calcId="152511"/>
</workbook>
</file>

<file path=xl/calcChain.xml><?xml version="1.0" encoding="utf-8"?>
<calcChain xmlns="http://schemas.openxmlformats.org/spreadsheetml/2006/main">
  <c r="M39" i="2" l="1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2" i="2"/>
  <c r="M20" i="2" l="1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G20" i="4" l="1"/>
  <c r="G19" i="4"/>
</calcChain>
</file>

<file path=xl/sharedStrings.xml><?xml version="1.0" encoding="utf-8"?>
<sst xmlns="http://schemas.openxmlformats.org/spreadsheetml/2006/main" count="189" uniqueCount="85">
  <si>
    <t>番号</t>
    <phoneticPr fontId="1" type="noConversion"/>
  </si>
  <si>
    <t>氏名</t>
    <phoneticPr fontId="1" type="noConversion"/>
  </si>
  <si>
    <t>月謝</t>
    <phoneticPr fontId="1" type="noConversion"/>
  </si>
  <si>
    <t>テキスト</t>
    <phoneticPr fontId="1" type="noConversion"/>
  </si>
  <si>
    <t>コピー</t>
    <phoneticPr fontId="1" type="noConversion"/>
  </si>
  <si>
    <t>小物</t>
    <phoneticPr fontId="1" type="noConversion"/>
  </si>
  <si>
    <t>グレード</t>
    <phoneticPr fontId="1" type="noConversion"/>
  </si>
  <si>
    <t>合計</t>
    <phoneticPr fontId="1" type="noConversion"/>
  </si>
  <si>
    <t>その他</t>
    <phoneticPr fontId="1" type="noConversion"/>
  </si>
  <si>
    <t>月</t>
    <phoneticPr fontId="1" type="noConversion"/>
  </si>
  <si>
    <t>火</t>
    <phoneticPr fontId="1" type="noConversion"/>
  </si>
  <si>
    <t>水</t>
    <phoneticPr fontId="1" type="noConversion"/>
  </si>
  <si>
    <t>木</t>
    <phoneticPr fontId="1" type="noConversion"/>
  </si>
  <si>
    <t>山口わ</t>
    <phoneticPr fontId="1" type="noConversion"/>
  </si>
  <si>
    <t>senjing</t>
    <phoneticPr fontId="1" type="noConversion"/>
  </si>
  <si>
    <t>下村</t>
    <phoneticPr fontId="1" type="noConversion"/>
  </si>
  <si>
    <t>ruosong</t>
    <phoneticPr fontId="1" type="noConversion"/>
  </si>
  <si>
    <t>zhutian</t>
    <phoneticPr fontId="1" type="noConversion"/>
  </si>
  <si>
    <t>guneiye</t>
    <phoneticPr fontId="1" type="noConversion"/>
  </si>
  <si>
    <t>beishan</t>
    <phoneticPr fontId="1" type="noConversion"/>
  </si>
  <si>
    <t>bintianri</t>
    <phoneticPr fontId="1" type="noConversion"/>
  </si>
  <si>
    <t>zuozhu</t>
    <phoneticPr fontId="1" type="noConversion"/>
  </si>
  <si>
    <t>changgu</t>
    <phoneticPr fontId="1" type="noConversion"/>
  </si>
  <si>
    <t>zhiqi</t>
    <phoneticPr fontId="1" type="noConversion"/>
  </si>
  <si>
    <t>yitengni</t>
    <phoneticPr fontId="1" type="noConversion"/>
  </si>
  <si>
    <t>yitenghi</t>
    <phoneticPr fontId="1" type="noConversion"/>
  </si>
  <si>
    <t>xianocun</t>
    <phoneticPr fontId="1" type="noConversion"/>
  </si>
  <si>
    <t>gu</t>
    <phoneticPr fontId="1" type="noConversion"/>
  </si>
  <si>
    <t>tongtian</t>
    <phoneticPr fontId="1" type="noConversion"/>
  </si>
  <si>
    <t>chuanbi</t>
    <phoneticPr fontId="1" type="noConversion"/>
  </si>
  <si>
    <t>daoyu</t>
    <phoneticPr fontId="1" type="noConversion"/>
  </si>
  <si>
    <t>wang</t>
    <phoneticPr fontId="1" type="noConversion"/>
  </si>
  <si>
    <t>円</t>
    <phoneticPr fontId="1" type="noConversion"/>
  </si>
  <si>
    <t>内訳</t>
    <phoneticPr fontId="1" type="noConversion"/>
  </si>
  <si>
    <t>月謝</t>
    <phoneticPr fontId="1" type="noConversion"/>
  </si>
  <si>
    <t>テキスト代</t>
    <phoneticPr fontId="1" type="noConversion"/>
  </si>
  <si>
    <t>コピー代</t>
    <phoneticPr fontId="1" type="noConversion"/>
  </si>
  <si>
    <t>連絡事項：月謝および諸経費の納入は毎月6日まで</t>
    <phoneticPr fontId="1" type="noConversion"/>
  </si>
  <si>
    <t>小物</t>
    <phoneticPr fontId="1" type="noConversion"/>
  </si>
  <si>
    <t>その他</t>
    <phoneticPr fontId="1" type="noConversion"/>
  </si>
  <si>
    <t>グレード</t>
    <phoneticPr fontId="1" type="noConversion"/>
  </si>
  <si>
    <t>曜日</t>
    <phoneticPr fontId="1" type="noConversion"/>
  </si>
  <si>
    <t>音楽教室名前</t>
    <rPh sb="4" eb="6">
      <t>なまえ</t>
    </rPh>
    <phoneticPr fontId="1" type="noConversion"/>
  </si>
  <si>
    <t>新小岩</t>
    <rPh sb="0" eb="3">
      <t>しんこいわ</t>
    </rPh>
    <phoneticPr fontId="1" type="noConversion"/>
  </si>
  <si>
    <t>音楽教室TEL</t>
    <phoneticPr fontId="1" type="noConversion"/>
  </si>
  <si>
    <t>03-2345-6578</t>
    <phoneticPr fontId="1" type="noConversion"/>
  </si>
  <si>
    <t>名前</t>
    <rPh sb="0" eb="2">
      <t>ナマエ</t>
    </rPh>
    <phoneticPr fontId="4"/>
  </si>
  <si>
    <t>納入月分</t>
    <phoneticPr fontId="4"/>
  </si>
  <si>
    <t>印刷日付</t>
    <rPh sb="0" eb="2">
      <t>インサツ</t>
    </rPh>
    <rPh sb="2" eb="4">
      <t>ヒヅケ</t>
    </rPh>
    <phoneticPr fontId="4"/>
  </si>
  <si>
    <t>様</t>
    <rPh sb="0" eb="1">
      <t>さま</t>
    </rPh>
    <phoneticPr fontId="1" type="noConversion"/>
  </si>
  <si>
    <t>月分納入金額</t>
    <phoneticPr fontId="1" type="noConversion"/>
  </si>
  <si>
    <t>ユーザID</t>
    <phoneticPr fontId="1" type="noConversion"/>
  </si>
  <si>
    <t>登録日</t>
    <rPh sb="0" eb="2">
      <t>とうろく</t>
    </rPh>
    <rPh sb="2" eb="3">
      <t>び</t>
    </rPh>
    <phoneticPr fontId="1" type="noConversion"/>
  </si>
  <si>
    <t>更新日</t>
    <rPh sb="0" eb="3">
      <t>こうしんび</t>
    </rPh>
    <phoneticPr fontId="1" type="noConversion"/>
  </si>
  <si>
    <t>月</t>
    <rPh sb="0" eb="1">
      <t>げつ</t>
    </rPh>
    <phoneticPr fontId="1" type="noConversion"/>
  </si>
  <si>
    <t>xiaolin</t>
  </si>
  <si>
    <t>兄弟マック</t>
    <rPh sb="0" eb="2">
      <t>きょうだい</t>
    </rPh>
    <phoneticPr fontId="1" type="noConversion"/>
  </si>
  <si>
    <t>兄弟連ユーザーID</t>
    <rPh sb="0" eb="2">
      <t>きょうだい</t>
    </rPh>
    <rPh sb="2" eb="3">
      <t>ﾚﾝ</t>
    </rPh>
    <phoneticPr fontId="1" type="noConversion"/>
  </si>
  <si>
    <t>★</t>
  </si>
  <si>
    <t>★</t>
    <phoneticPr fontId="1" type="noConversion"/>
  </si>
  <si>
    <t>ユーザーID</t>
    <phoneticPr fontId="4"/>
  </si>
  <si>
    <t>日付</t>
    <rPh sb="0" eb="2">
      <t>ヒヅケ</t>
    </rPh>
    <phoneticPr fontId="4"/>
  </si>
  <si>
    <t>開始時間</t>
    <rPh sb="0" eb="2">
      <t>カイシ</t>
    </rPh>
    <rPh sb="2" eb="4">
      <t>ジカン</t>
    </rPh>
    <phoneticPr fontId="4"/>
  </si>
  <si>
    <t>終了時間</t>
    <rPh sb="0" eb="2">
      <t>シュウリョウ</t>
    </rPh>
    <rPh sb="2" eb="4">
      <t>ジカン</t>
    </rPh>
    <phoneticPr fontId="4"/>
  </si>
  <si>
    <t>変更</t>
    <rPh sb="0" eb="2">
      <t>ヘンコウ</t>
    </rPh>
    <phoneticPr fontId="4"/>
  </si>
  <si>
    <t>変更前番号</t>
    <rPh sb="0" eb="2">
      <t>ヘンコウ</t>
    </rPh>
    <rPh sb="2" eb="3">
      <t>マエ</t>
    </rPh>
    <rPh sb="3" eb="5">
      <t>バンゴウ</t>
    </rPh>
    <phoneticPr fontId="4"/>
  </si>
  <si>
    <t>調整日付</t>
    <rPh sb="0" eb="2">
      <t>チョウセイ</t>
    </rPh>
    <rPh sb="2" eb="4">
      <t>ヒヅケ</t>
    </rPh>
    <phoneticPr fontId="4"/>
  </si>
  <si>
    <t>備考</t>
    <rPh sb="0" eb="2">
      <t>ビコウ</t>
    </rPh>
    <phoneticPr fontId="4"/>
  </si>
  <si>
    <t>様</t>
    <rPh sb="0" eb="1">
      <t>サマ</t>
    </rPh>
    <phoneticPr fontId="4"/>
  </si>
  <si>
    <t>番号</t>
    <rPh sb="0" eb="2">
      <t>バンゴウ</t>
    </rPh>
    <phoneticPr fontId="4"/>
  </si>
  <si>
    <t>月</t>
  </si>
  <si>
    <t>月</t>
    <phoneticPr fontId="4"/>
  </si>
  <si>
    <t>ユーザID</t>
    <phoneticPr fontId="4"/>
  </si>
  <si>
    <t>開始時間</t>
    <phoneticPr fontId="4"/>
  </si>
  <si>
    <t>終了時間</t>
    <phoneticPr fontId="4"/>
  </si>
  <si>
    <t>曜日</t>
    <phoneticPr fontId="4"/>
  </si>
  <si>
    <t>変更</t>
    <phoneticPr fontId="4"/>
  </si>
  <si>
    <t>調整日付</t>
    <phoneticPr fontId="4"/>
  </si>
  <si>
    <t>備考</t>
    <phoneticPr fontId="4"/>
  </si>
  <si>
    <t>山口わ</t>
  </si>
  <si>
    <t>山口わ</t>
    <phoneticPr fontId="4"/>
  </si>
  <si>
    <t>senjing</t>
  </si>
  <si>
    <t>下村</t>
  </si>
  <si>
    <t>★</t>
    <phoneticPr fontId="1" type="noConversion"/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</si>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</sst>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/d;@"/>
    <numFmt numFmtId="177" formatCode="yyyy&quot;年&quot;m&quot;月&quot;d&quot;日&quot;;@"/>
    <numFmt numFmtId="178" formatCode="yyyy&quot;年&quot;m&quot;月&quot;;@"/>
    <numFmt numFmtId="179" formatCode="0_ "/>
  </numFmts>
  <fonts count="7">
    <font>
      <sz val="11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0000"/>
      <name val="宋体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176" fontId="3" fillId="2" borderId="0" xfId="0" applyNumberFormat="1" applyFont="1" applyFill="1">
      <alignment vertical="center"/>
    </xf>
    <xf numFmtId="0" fontId="3" fillId="2" borderId="0" xfId="0" applyFont="1" applyFill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5" xfId="0" applyBorder="1" applyAlignment="1">
      <alignment horizontal="center" vertical="center"/>
    </xf>
    <xf numFmtId="177" fontId="2" fillId="0" borderId="0" xfId="0" applyNumberFormat="1" applyFont="1">
      <alignment vertical="center"/>
    </xf>
    <xf numFmtId="0" fontId="2" fillId="2" borderId="0" xfId="0" applyNumberFormat="1" applyFont="1" applyFill="1" applyAlignment="1">
      <alignment horizontal="right"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55" fontId="0" fillId="0" borderId="0" xfId="0" applyNumberFormat="1">
      <alignment vertical="center"/>
    </xf>
    <xf numFmtId="14" fontId="0" fillId="0" borderId="4" xfId="0" applyNumberFormat="1" applyBorder="1" applyAlignment="1">
      <alignment horizontal="center" vertical="center"/>
    </xf>
    <xf numFmtId="179" fontId="0" fillId="0" borderId="4" xfId="0" quotePrefix="1" applyNumberForma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0" fillId="0" borderId="4" xfId="0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>
      <alignment vertical="center"/>
    </xf>
    <xf numFmtId="14" fontId="0" fillId="0" borderId="4" xfId="0" applyNumberFormat="1" applyBorder="1">
      <alignment vertical="center"/>
    </xf>
    <xf numFmtId="20" fontId="0" fillId="0" borderId="4" xfId="0" applyNumberFormat="1" applyBorder="1">
      <alignment vertical="center"/>
    </xf>
    <xf numFmtId="56" fontId="0" fillId="0" borderId="4" xfId="0" applyNumberFormat="1" applyBorder="1">
      <alignment vertical="center"/>
    </xf>
    <xf numFmtId="0" fontId="3" fillId="0" borderId="0" xfId="0" applyFont="1" applyAlignment="1">
      <alignment horizontal="left" vertical="top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</xdr:row>
          <xdr:rowOff>0</xdr:rowOff>
        </xdr:from>
        <xdr:to>
          <xdr:col>17</xdr:col>
          <xdr:colOff>647700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</xdr:row>
          <xdr:rowOff>85725</xdr:rowOff>
        </xdr:from>
        <xdr:to>
          <xdr:col>9</xdr:col>
          <xdr:colOff>800100</xdr:colOff>
          <xdr:row>3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39"/>
  <sheetViews>
    <sheetView tabSelected="1" zoomScale="85" zoomScaleNormal="85" workbookViewId="0">
      <selection activeCell="C1" sqref="C1"/>
    </sheetView>
  </sheetViews>
  <sheetFormatPr defaultColWidth="9" defaultRowHeight="13.5"/>
  <cols>
    <col min="1" max="1" width="7" style="1" customWidth="1"/>
    <col min="2" max="4" width="9" style="1"/>
    <col min="5" max="5" width="13.5" style="1" bestFit="1" customWidth="1"/>
    <col min="6" max="13" width="9" style="1"/>
    <col min="14" max="14" width="18" style="1" customWidth="1"/>
    <col min="15" max="16" width="10.5" style="1" bestFit="1" customWidth="1"/>
    <col min="17" max="16384" width="9" style="1"/>
  </cols>
  <sheetData>
    <row r="1" spans="1:16" ht="54" customHeight="1">
      <c r="A1" s="21" t="s">
        <v>56</v>
      </c>
      <c r="B1" s="2" t="s">
        <v>0</v>
      </c>
      <c r="C1" s="5" t="s">
        <v>54</v>
      </c>
      <c r="D1" s="3" t="s">
        <v>41</v>
      </c>
      <c r="E1" s="5" t="s">
        <v>51</v>
      </c>
      <c r="F1" s="3" t="s">
        <v>1</v>
      </c>
      <c r="G1" s="3" t="s">
        <v>2</v>
      </c>
      <c r="H1" s="3" t="s">
        <v>3</v>
      </c>
      <c r="I1" s="3" t="s">
        <v>4</v>
      </c>
      <c r="J1" s="3" t="s">
        <v>5</v>
      </c>
      <c r="K1" s="3" t="s">
        <v>8</v>
      </c>
      <c r="L1" s="3" t="s">
        <v>6</v>
      </c>
      <c r="M1" s="4" t="s">
        <v>7</v>
      </c>
      <c r="N1" s="21" t="s">
        <v>57</v>
      </c>
      <c r="O1" s="5" t="s">
        <v>52</v>
      </c>
      <c r="P1" s="5" t="s">
        <v>53</v>
      </c>
    </row>
    <row r="2" spans="1:16">
      <c r="A2" s="5" t="s">
        <v>59</v>
      </c>
      <c r="B2" s="2">
        <v>3</v>
      </c>
      <c r="C2" s="5">
        <v>3</v>
      </c>
      <c r="D2" s="3">
        <v>4</v>
      </c>
      <c r="E2" s="19">
        <v>20190227003</v>
      </c>
      <c r="F2" s="3" t="s">
        <v>13</v>
      </c>
      <c r="G2" s="3">
        <v>7000</v>
      </c>
      <c r="H2" s="3">
        <v>1000</v>
      </c>
      <c r="I2" s="3">
        <v>2000</v>
      </c>
      <c r="J2" s="3">
        <v>3000</v>
      </c>
      <c r="K2" s="3">
        <v>4000</v>
      </c>
      <c r="L2" s="3">
        <v>5000</v>
      </c>
      <c r="M2" s="4">
        <v>22000</v>
      </c>
      <c r="N2" s="5">
        <v>20190227003</v>
      </c>
      <c r="O2" s="18">
        <v>43523</v>
      </c>
      <c r="P2" s="18">
        <v>43523</v>
      </c>
    </row>
    <row r="3" spans="1:16">
      <c r="A3" s="5" t="s">
        <v>59</v>
      </c>
      <c r="B3" s="2">
        <v>4</v>
      </c>
      <c r="C3" s="5">
        <v>3</v>
      </c>
      <c r="D3" s="3" t="s">
        <v>9</v>
      </c>
      <c r="E3" s="19">
        <v>20190227004</v>
      </c>
      <c r="F3" s="3" t="s">
        <v>14</v>
      </c>
      <c r="G3" s="3">
        <v>6500</v>
      </c>
      <c r="H3" s="3"/>
      <c r="I3" s="3"/>
      <c r="J3" s="3"/>
      <c r="K3" s="3"/>
      <c r="L3" s="3"/>
      <c r="M3" s="4">
        <f t="shared" ref="M3:M20" si="0">SUM(G3:L3)</f>
        <v>6500</v>
      </c>
      <c r="N3" s="5">
        <v>20190227003</v>
      </c>
      <c r="O3" s="5" t="s">
        <v>9</v>
      </c>
      <c r="P3" s="5"/>
    </row>
    <row r="4" spans="1:16">
      <c r="A4" s="5" t="s">
        <v>58</v>
      </c>
      <c r="B4" s="2">
        <v>5</v>
      </c>
      <c r="C4" s="5">
        <v>3</v>
      </c>
      <c r="D4" s="3" t="s">
        <v>9</v>
      </c>
      <c r="E4" s="19">
        <v>20190227005</v>
      </c>
      <c r="F4" s="3" t="s">
        <v>15</v>
      </c>
      <c r="G4" s="3">
        <v>7000</v>
      </c>
      <c r="H4" s="3"/>
      <c r="I4" s="3"/>
      <c r="J4" s="3"/>
      <c r="K4" s="3"/>
      <c r="L4" s="3"/>
      <c r="M4" s="4">
        <f t="shared" si="0"/>
        <v>7000</v>
      </c>
      <c r="N4" s="5">
        <v>20190227005</v>
      </c>
      <c r="O4" s="5" t="s">
        <v>9</v>
      </c>
      <c r="P4" s="5"/>
    </row>
    <row r="5" spans="1:16">
      <c r="A5" s="5" t="s">
        <v>58</v>
      </c>
      <c r="B5" s="2">
        <v>6</v>
      </c>
      <c r="C5" s="5">
        <v>3</v>
      </c>
      <c r="D5" s="3" t="s">
        <v>9</v>
      </c>
      <c r="E5" s="19">
        <v>20190227006</v>
      </c>
      <c r="F5" s="3" t="s">
        <v>16</v>
      </c>
      <c r="G5" s="3">
        <v>6500</v>
      </c>
      <c r="H5" s="3"/>
      <c r="I5" s="3"/>
      <c r="J5" s="3"/>
      <c r="K5" s="3"/>
      <c r="L5" s="3"/>
      <c r="M5" s="4">
        <f t="shared" si="0"/>
        <v>6500</v>
      </c>
      <c r="N5" s="5">
        <v>20190227005</v>
      </c>
      <c r="O5" s="5" t="s">
        <v>9</v>
      </c>
      <c r="P5" s="5"/>
    </row>
    <row r="6" spans="1:16">
      <c r="A6" s="5"/>
      <c r="B6" s="2">
        <v>7</v>
      </c>
      <c r="C6" s="5">
        <v>3</v>
      </c>
      <c r="D6" s="3" t="s">
        <v>9</v>
      </c>
      <c r="E6" s="19">
        <v>20190227007</v>
      </c>
      <c r="F6" s="3" t="s">
        <v>17</v>
      </c>
      <c r="G6" s="3">
        <v>7000</v>
      </c>
      <c r="H6" s="3"/>
      <c r="I6" s="3"/>
      <c r="J6" s="3"/>
      <c r="K6" s="3"/>
      <c r="L6" s="3"/>
      <c r="M6" s="4">
        <f t="shared" si="0"/>
        <v>7000</v>
      </c>
      <c r="N6" s="5"/>
      <c r="O6" s="5" t="s">
        <v>9</v>
      </c>
      <c r="P6" s="5"/>
    </row>
    <row r="7" spans="1:16">
      <c r="A7" s="5" t="s">
        <v>58</v>
      </c>
      <c r="B7" s="2">
        <v>8</v>
      </c>
      <c r="C7" s="5">
        <v>3</v>
      </c>
      <c r="D7" s="3" t="s">
        <v>10</v>
      </c>
      <c r="E7" s="19">
        <v>20190227008</v>
      </c>
      <c r="F7" s="3" t="s">
        <v>18</v>
      </c>
      <c r="G7" s="3">
        <v>6500</v>
      </c>
      <c r="H7" s="3"/>
      <c r="I7" s="3"/>
      <c r="J7" s="3"/>
      <c r="K7" s="3"/>
      <c r="L7" s="3"/>
      <c r="M7" s="4">
        <f t="shared" si="0"/>
        <v>6500</v>
      </c>
      <c r="N7" s="5">
        <v>20190227008</v>
      </c>
      <c r="O7" s="5"/>
      <c r="P7" s="5"/>
    </row>
    <row r="8" spans="1:16">
      <c r="A8" s="5" t="s">
        <v>58</v>
      </c>
      <c r="B8" s="2">
        <v>9</v>
      </c>
      <c r="C8" s="5">
        <v>3</v>
      </c>
      <c r="D8" s="3" t="s">
        <v>10</v>
      </c>
      <c r="E8" s="19">
        <v>20190227009</v>
      </c>
      <c r="F8" s="3" t="s">
        <v>19</v>
      </c>
      <c r="G8" s="3">
        <v>7000</v>
      </c>
      <c r="H8" s="3"/>
      <c r="I8" s="3"/>
      <c r="J8" s="3"/>
      <c r="K8" s="3"/>
      <c r="L8" s="3"/>
      <c r="M8" s="4">
        <f t="shared" si="0"/>
        <v>7000</v>
      </c>
      <c r="N8" s="5">
        <v>20190227008</v>
      </c>
      <c r="O8" s="5"/>
      <c r="P8" s="5"/>
    </row>
    <row r="9" spans="1:16">
      <c r="A9" s="5"/>
      <c r="B9" s="2">
        <v>10</v>
      </c>
      <c r="C9" s="5">
        <v>3</v>
      </c>
      <c r="D9" s="3" t="s">
        <v>10</v>
      </c>
      <c r="E9" s="19">
        <v>20190227010</v>
      </c>
      <c r="F9" s="3" t="s">
        <v>20</v>
      </c>
      <c r="G9" s="3">
        <v>6500</v>
      </c>
      <c r="H9" s="3">
        <v>1080</v>
      </c>
      <c r="I9" s="3"/>
      <c r="J9" s="3"/>
      <c r="K9" s="3"/>
      <c r="L9" s="3"/>
      <c r="M9" s="4">
        <f t="shared" si="0"/>
        <v>7580</v>
      </c>
      <c r="N9" s="5"/>
      <c r="O9" s="5"/>
      <c r="P9" s="5"/>
    </row>
    <row r="10" spans="1:16">
      <c r="A10" s="5"/>
      <c r="B10" s="2">
        <v>11</v>
      </c>
      <c r="C10" s="5">
        <v>3</v>
      </c>
      <c r="D10" s="3" t="s">
        <v>11</v>
      </c>
      <c r="E10" s="19">
        <v>20190227011</v>
      </c>
      <c r="F10" s="3" t="s">
        <v>21</v>
      </c>
      <c r="G10" s="3">
        <v>6500</v>
      </c>
      <c r="H10" s="3"/>
      <c r="I10" s="3"/>
      <c r="J10" s="3"/>
      <c r="K10" s="3"/>
      <c r="L10" s="3"/>
      <c r="M10" s="4">
        <f t="shared" si="0"/>
        <v>6500</v>
      </c>
      <c r="N10" s="5"/>
      <c r="O10" s="5"/>
      <c r="P10" s="5"/>
    </row>
    <row r="11" spans="1:16">
      <c r="A11" s="5" t="s">
        <v>58</v>
      </c>
      <c r="B11" s="2">
        <v>12</v>
      </c>
      <c r="C11" s="5">
        <v>3</v>
      </c>
      <c r="D11" s="3" t="s">
        <v>10</v>
      </c>
      <c r="E11" s="19">
        <v>20190227012</v>
      </c>
      <c r="F11" s="3" t="s">
        <v>22</v>
      </c>
      <c r="G11" s="3">
        <v>7000</v>
      </c>
      <c r="H11" s="3"/>
      <c r="I11" s="3"/>
      <c r="J11" s="3"/>
      <c r="K11" s="3"/>
      <c r="L11" s="3"/>
      <c r="M11" s="4">
        <f t="shared" si="0"/>
        <v>7000</v>
      </c>
      <c r="N11" s="5">
        <v>20190227012</v>
      </c>
      <c r="O11" s="5"/>
      <c r="P11" s="5"/>
    </row>
    <row r="12" spans="1:16">
      <c r="A12" s="5" t="s">
        <v>58</v>
      </c>
      <c r="B12" s="2">
        <v>13</v>
      </c>
      <c r="C12" s="5">
        <v>3</v>
      </c>
      <c r="D12" s="3" t="s">
        <v>10</v>
      </c>
      <c r="E12" s="19">
        <v>20190227013</v>
      </c>
      <c r="F12" s="3" t="s">
        <v>23</v>
      </c>
      <c r="G12" s="3">
        <v>7000</v>
      </c>
      <c r="H12" s="3"/>
      <c r="I12" s="3"/>
      <c r="J12" s="3"/>
      <c r="K12" s="3"/>
      <c r="L12" s="3"/>
      <c r="M12" s="4">
        <f t="shared" si="0"/>
        <v>7000</v>
      </c>
      <c r="N12" s="5">
        <v>20190227012</v>
      </c>
      <c r="O12" s="5"/>
      <c r="P12" s="5"/>
    </row>
    <row r="13" spans="1:16">
      <c r="A13" s="5"/>
      <c r="B13" s="2">
        <v>14</v>
      </c>
      <c r="C13" s="5">
        <v>3</v>
      </c>
      <c r="D13" s="3" t="s">
        <v>10</v>
      </c>
      <c r="E13" s="19">
        <v>20190227014</v>
      </c>
      <c r="F13" s="3" t="s">
        <v>24</v>
      </c>
      <c r="G13" s="3">
        <v>7000</v>
      </c>
      <c r="H13" s="3"/>
      <c r="I13" s="3"/>
      <c r="J13" s="3"/>
      <c r="K13" s="3"/>
      <c r="L13" s="3">
        <v>3900</v>
      </c>
      <c r="M13" s="4">
        <f t="shared" si="0"/>
        <v>10900</v>
      </c>
      <c r="N13" s="5"/>
      <c r="O13" s="5"/>
      <c r="P13" s="5"/>
    </row>
    <row r="14" spans="1:16">
      <c r="A14" s="5"/>
      <c r="B14" s="2">
        <v>15</v>
      </c>
      <c r="C14" s="5">
        <v>3</v>
      </c>
      <c r="D14" s="3" t="s">
        <v>12</v>
      </c>
      <c r="E14" s="19">
        <v>20190227015</v>
      </c>
      <c r="F14" s="3" t="s">
        <v>25</v>
      </c>
      <c r="G14" s="3">
        <v>6500</v>
      </c>
      <c r="H14" s="3"/>
      <c r="I14" s="3"/>
      <c r="J14" s="3"/>
      <c r="K14" s="3"/>
      <c r="L14" s="3"/>
      <c r="M14" s="4">
        <f t="shared" si="0"/>
        <v>6500</v>
      </c>
      <c r="N14" s="5"/>
      <c r="O14" s="5"/>
      <c r="P14" s="5"/>
    </row>
    <row r="15" spans="1:16">
      <c r="A15" s="5"/>
      <c r="B15" s="2">
        <v>17</v>
      </c>
      <c r="C15" s="5">
        <v>3</v>
      </c>
      <c r="D15" s="3" t="s">
        <v>10</v>
      </c>
      <c r="E15" s="19">
        <v>20190227017</v>
      </c>
      <c r="F15" s="3" t="s">
        <v>26</v>
      </c>
      <c r="G15" s="3">
        <v>7000</v>
      </c>
      <c r="H15" s="3"/>
      <c r="I15" s="3"/>
      <c r="J15" s="3"/>
      <c r="K15" s="3"/>
      <c r="L15" s="3"/>
      <c r="M15" s="4">
        <f t="shared" si="0"/>
        <v>7000</v>
      </c>
      <c r="N15" s="5"/>
      <c r="O15" s="5"/>
      <c r="P15" s="5"/>
    </row>
    <row r="16" spans="1:16">
      <c r="A16" s="5"/>
      <c r="B16" s="2">
        <v>18</v>
      </c>
      <c r="C16" s="5">
        <v>3</v>
      </c>
      <c r="D16" s="3" t="s">
        <v>11</v>
      </c>
      <c r="E16" s="19">
        <v>20190227018</v>
      </c>
      <c r="F16" s="3" t="s">
        <v>27</v>
      </c>
      <c r="G16" s="3">
        <v>6500</v>
      </c>
      <c r="H16" s="3"/>
      <c r="I16" s="3"/>
      <c r="J16" s="3"/>
      <c r="K16" s="3"/>
      <c r="L16" s="3"/>
      <c r="M16" s="4">
        <f t="shared" si="0"/>
        <v>6500</v>
      </c>
      <c r="N16" s="5"/>
      <c r="O16" s="5"/>
      <c r="P16" s="5"/>
    </row>
    <row r="17" spans="1:16">
      <c r="A17" s="5"/>
      <c r="B17" s="2">
        <v>19</v>
      </c>
      <c r="C17" s="5">
        <v>3</v>
      </c>
      <c r="D17" s="3" t="s">
        <v>11</v>
      </c>
      <c r="E17" s="19">
        <v>20190227019</v>
      </c>
      <c r="F17" s="3" t="s">
        <v>28</v>
      </c>
      <c r="G17" s="3">
        <v>7000</v>
      </c>
      <c r="H17" s="3"/>
      <c r="I17" s="3"/>
      <c r="J17" s="3"/>
      <c r="K17" s="3"/>
      <c r="L17" s="3"/>
      <c r="M17" s="4">
        <f t="shared" si="0"/>
        <v>7000</v>
      </c>
      <c r="N17" s="5"/>
      <c r="O17" s="5"/>
      <c r="P17" s="5"/>
    </row>
    <row r="18" spans="1:16">
      <c r="A18" s="5"/>
      <c r="B18" s="2">
        <v>20</v>
      </c>
      <c r="C18" s="5">
        <v>3</v>
      </c>
      <c r="D18" s="3" t="s">
        <v>11</v>
      </c>
      <c r="E18" s="19">
        <v>20190227020</v>
      </c>
      <c r="F18" s="3" t="s">
        <v>29</v>
      </c>
      <c r="G18" s="3">
        <v>7000</v>
      </c>
      <c r="H18" s="3"/>
      <c r="I18" s="3"/>
      <c r="J18" s="3"/>
      <c r="K18" s="3"/>
      <c r="L18" s="3"/>
      <c r="M18" s="4">
        <f t="shared" si="0"/>
        <v>7000</v>
      </c>
      <c r="N18" s="5"/>
      <c r="O18" s="5"/>
      <c r="P18" s="5"/>
    </row>
    <row r="19" spans="1:16">
      <c r="A19" s="5"/>
      <c r="B19" s="2">
        <v>21</v>
      </c>
      <c r="C19" s="5">
        <v>3</v>
      </c>
      <c r="D19" s="3" t="s">
        <v>11</v>
      </c>
      <c r="E19" s="19">
        <v>20190227021</v>
      </c>
      <c r="F19" s="3" t="s">
        <v>30</v>
      </c>
      <c r="G19" s="12">
        <v>7000</v>
      </c>
      <c r="H19" s="5"/>
      <c r="I19" s="5"/>
      <c r="J19" s="5"/>
      <c r="K19" s="5"/>
      <c r="L19" s="5"/>
      <c r="M19" s="5">
        <f t="shared" si="0"/>
        <v>7000</v>
      </c>
      <c r="N19" s="5"/>
      <c r="O19" s="5"/>
      <c r="P19" s="5"/>
    </row>
    <row r="20" spans="1:16">
      <c r="A20" s="5"/>
      <c r="B20" s="2">
        <v>22</v>
      </c>
      <c r="C20" s="5">
        <v>3</v>
      </c>
      <c r="D20" s="3" t="s">
        <v>11</v>
      </c>
      <c r="E20" s="19">
        <v>20190227022</v>
      </c>
      <c r="F20" s="3" t="s">
        <v>31</v>
      </c>
      <c r="G20" s="12">
        <v>7000</v>
      </c>
      <c r="H20" s="5"/>
      <c r="I20" s="5"/>
      <c r="J20" s="5"/>
      <c r="K20" s="5"/>
      <c r="L20" s="5"/>
      <c r="M20" s="5">
        <f t="shared" si="0"/>
        <v>7000</v>
      </c>
      <c r="N20" s="5"/>
      <c r="O20" s="5"/>
      <c r="P20" s="5"/>
    </row>
    <row r="21" spans="1:16">
      <c r="A21" s="5" t="s">
        <v>59</v>
      </c>
      <c r="B21" s="2">
        <v>3</v>
      </c>
      <c r="C21" s="5">
        <v>4</v>
      </c>
      <c r="D21" s="3">
        <v>4</v>
      </c>
      <c r="E21" s="19">
        <v>20190227003</v>
      </c>
      <c r="F21" s="3" t="s">
        <v>13</v>
      </c>
      <c r="G21" s="3">
        <v>7000</v>
      </c>
      <c r="H21" s="3">
        <v>1000</v>
      </c>
      <c r="I21" s="3">
        <v>2000</v>
      </c>
      <c r="J21" s="3">
        <v>3000</v>
      </c>
      <c r="K21" s="3">
        <v>4000</v>
      </c>
      <c r="L21" s="3">
        <v>5000</v>
      </c>
      <c r="M21" s="4">
        <v>22000</v>
      </c>
      <c r="N21" s="5">
        <v>20190227003</v>
      </c>
      <c r="O21" s="18">
        <v>43523</v>
      </c>
      <c r="P21" s="18">
        <v>43523</v>
      </c>
    </row>
    <row r="22" spans="1:16">
      <c r="A22" s="5" t="s">
        <v>59</v>
      </c>
      <c r="B22" s="2">
        <v>4</v>
      </c>
      <c r="C22" s="5">
        <v>4</v>
      </c>
      <c r="D22" s="3" t="s">
        <v>9</v>
      </c>
      <c r="E22" s="19">
        <v>20190227004</v>
      </c>
      <c r="F22" s="3" t="s">
        <v>14</v>
      </c>
      <c r="G22" s="3">
        <v>6500</v>
      </c>
      <c r="H22" s="3"/>
      <c r="I22" s="3"/>
      <c r="J22" s="3"/>
      <c r="K22" s="3"/>
      <c r="L22" s="3"/>
      <c r="M22" s="4">
        <f t="shared" ref="M22:M39" si="1">SUM(G22:L22)</f>
        <v>6500</v>
      </c>
      <c r="N22" s="5">
        <v>20190227003</v>
      </c>
      <c r="O22" s="5" t="s">
        <v>9</v>
      </c>
      <c r="P22" s="5"/>
    </row>
    <row r="23" spans="1:16">
      <c r="A23" s="5" t="s">
        <v>83</v>
      </c>
      <c r="B23" s="2" t="s">
        <v>84</v>
      </c>
      <c r="C23" s="5">
        <v>4</v>
      </c>
      <c r="D23" s="3">
        <v>3</v>
      </c>
      <c r="E23" s="19">
        <v>20190227005</v>
      </c>
      <c r="F23" s="3" t="s">
        <v>15</v>
      </c>
      <c r="G23" s="3">
        <v>7000</v>
      </c>
      <c r="H23" s="3">
        <v>1000</v>
      </c>
      <c r="I23" s="3">
        <v>1000</v>
      </c>
      <c r="J23" s="3">
        <v>1000</v>
      </c>
      <c r="K23" s="3">
        <v>1000</v>
      </c>
      <c r="L23" s="3">
        <v>1000</v>
      </c>
      <c r="M23" s="4">
        <v>12000</v>
      </c>
      <c r="N23" s="5" t="s">
        <v>58</v>
      </c>
      <c r="O23" s="18">
        <v>43543</v>
      </c>
      <c r="P23" s="18">
        <v>43543</v>
      </c>
    </row>
    <row r="24" spans="1:16">
      <c r="A24" s="5" t="s">
        <v>58</v>
      </c>
      <c r="B24" s="2">
        <v>6</v>
      </c>
      <c r="C24" s="5">
        <v>4</v>
      </c>
      <c r="D24" s="3" t="s">
        <v>9</v>
      </c>
      <c r="E24" s="19">
        <v>20190227006</v>
      </c>
      <c r="F24" s="3" t="s">
        <v>16</v>
      </c>
      <c r="G24" s="3">
        <v>6500</v>
      </c>
      <c r="H24" s="3"/>
      <c r="I24" s="3"/>
      <c r="J24" s="3"/>
      <c r="K24" s="3"/>
      <c r="L24" s="3"/>
      <c r="M24" s="4">
        <f t="shared" si="1"/>
        <v>6500</v>
      </c>
      <c r="N24" s="5">
        <v>20190227005</v>
      </c>
      <c r="O24" s="5" t="s">
        <v>9</v>
      </c>
      <c r="P24" s="5"/>
    </row>
    <row r="25" spans="1:16">
      <c r="A25" s="5"/>
      <c r="B25" s="2">
        <v>7</v>
      </c>
      <c r="C25" s="5">
        <v>4</v>
      </c>
      <c r="D25" s="3" t="s">
        <v>9</v>
      </c>
      <c r="E25" s="19">
        <v>20190227007</v>
      </c>
      <c r="F25" s="3" t="s">
        <v>17</v>
      </c>
      <c r="G25" s="3">
        <v>7000</v>
      </c>
      <c r="H25" s="3"/>
      <c r="I25" s="3"/>
      <c r="J25" s="3"/>
      <c r="K25" s="3"/>
      <c r="L25" s="3"/>
      <c r="M25" s="4">
        <f t="shared" si="1"/>
        <v>7000</v>
      </c>
      <c r="N25" s="5"/>
      <c r="O25" s="5" t="s">
        <v>9</v>
      </c>
      <c r="P25" s="5"/>
    </row>
    <row r="26" spans="1:16">
      <c r="A26" s="5" t="s">
        <v>58</v>
      </c>
      <c r="B26" s="2">
        <v>8</v>
      </c>
      <c r="C26" s="5">
        <v>4</v>
      </c>
      <c r="D26" s="3" t="s">
        <v>10</v>
      </c>
      <c r="E26" s="19">
        <v>20190227008</v>
      </c>
      <c r="F26" s="3" t="s">
        <v>18</v>
      </c>
      <c r="G26" s="3">
        <v>6500</v>
      </c>
      <c r="H26" s="3"/>
      <c r="I26" s="3"/>
      <c r="J26" s="3"/>
      <c r="K26" s="3"/>
      <c r="L26" s="3"/>
      <c r="M26" s="4">
        <f t="shared" si="1"/>
        <v>6500</v>
      </c>
      <c r="N26" s="5">
        <v>20190227008</v>
      </c>
      <c r="O26" s="5"/>
      <c r="P26" s="5"/>
    </row>
    <row r="27" spans="1:16">
      <c r="A27" s="5" t="s">
        <v>58</v>
      </c>
      <c r="B27" s="2">
        <v>9</v>
      </c>
      <c r="C27" s="5">
        <v>4</v>
      </c>
      <c r="D27" s="3" t="s">
        <v>10</v>
      </c>
      <c r="E27" s="19">
        <v>20190227009</v>
      </c>
      <c r="F27" s="3" t="s">
        <v>19</v>
      </c>
      <c r="G27" s="3">
        <v>7000</v>
      </c>
      <c r="H27" s="3"/>
      <c r="I27" s="3"/>
      <c r="J27" s="3"/>
      <c r="K27" s="3"/>
      <c r="L27" s="3"/>
      <c r="M27" s="4">
        <f t="shared" si="1"/>
        <v>7000</v>
      </c>
      <c r="N27" s="5">
        <v>20190227008</v>
      </c>
      <c r="O27" s="5"/>
      <c r="P27" s="5"/>
    </row>
    <row r="28" spans="1:16">
      <c r="A28" s="5"/>
      <c r="B28" s="2">
        <v>10</v>
      </c>
      <c r="C28" s="5">
        <v>4</v>
      </c>
      <c r="D28" s="3" t="s">
        <v>10</v>
      </c>
      <c r="E28" s="19">
        <v>20190227010</v>
      </c>
      <c r="F28" s="3" t="s">
        <v>20</v>
      </c>
      <c r="G28" s="3">
        <v>6500</v>
      </c>
      <c r="H28" s="3">
        <v>1080</v>
      </c>
      <c r="I28" s="3"/>
      <c r="J28" s="3"/>
      <c r="K28" s="3"/>
      <c r="L28" s="3"/>
      <c r="M28" s="4">
        <f t="shared" si="1"/>
        <v>7580</v>
      </c>
      <c r="N28" s="5"/>
      <c r="O28" s="5"/>
      <c r="P28" s="5"/>
    </row>
    <row r="29" spans="1:16">
      <c r="A29" s="5"/>
      <c r="B29" s="2">
        <v>11</v>
      </c>
      <c r="C29" s="5">
        <v>4</v>
      </c>
      <c r="D29" s="3" t="s">
        <v>11</v>
      </c>
      <c r="E29" s="19">
        <v>20190227011</v>
      </c>
      <c r="F29" s="3" t="s">
        <v>21</v>
      </c>
      <c r="G29" s="3">
        <v>6500</v>
      </c>
      <c r="H29" s="3"/>
      <c r="I29" s="3"/>
      <c r="J29" s="3"/>
      <c r="K29" s="3"/>
      <c r="L29" s="3"/>
      <c r="M29" s="4">
        <f t="shared" si="1"/>
        <v>6500</v>
      </c>
      <c r="N29" s="5"/>
      <c r="O29" s="5"/>
      <c r="P29" s="5"/>
    </row>
    <row r="30" spans="1:16">
      <c r="A30" s="5" t="s">
        <v>58</v>
      </c>
      <c r="B30" s="2">
        <v>12</v>
      </c>
      <c r="C30" s="5">
        <v>4</v>
      </c>
      <c r="D30" s="3" t="s">
        <v>10</v>
      </c>
      <c r="E30" s="19">
        <v>20190227012</v>
      </c>
      <c r="F30" s="3" t="s">
        <v>22</v>
      </c>
      <c r="G30" s="3">
        <v>7000</v>
      </c>
      <c r="H30" s="3"/>
      <c r="I30" s="3"/>
      <c r="J30" s="3"/>
      <c r="K30" s="3"/>
      <c r="L30" s="3"/>
      <c r="M30" s="4">
        <f t="shared" si="1"/>
        <v>7000</v>
      </c>
      <c r="N30" s="5">
        <v>20190227012</v>
      </c>
      <c r="O30" s="5"/>
      <c r="P30" s="5"/>
    </row>
    <row r="31" spans="1:16">
      <c r="A31" s="5" t="s">
        <v>58</v>
      </c>
      <c r="B31" s="2">
        <v>13</v>
      </c>
      <c r="C31" s="5">
        <v>4</v>
      </c>
      <c r="D31" s="3" t="s">
        <v>10</v>
      </c>
      <c r="E31" s="19">
        <v>20190227013</v>
      </c>
      <c r="F31" s="3" t="s">
        <v>23</v>
      </c>
      <c r="G31" s="3">
        <v>7000</v>
      </c>
      <c r="H31" s="3"/>
      <c r="I31" s="3"/>
      <c r="J31" s="3"/>
      <c r="K31" s="3"/>
      <c r="L31" s="3"/>
      <c r="M31" s="4">
        <f t="shared" si="1"/>
        <v>7000</v>
      </c>
      <c r="N31" s="5">
        <v>20190227012</v>
      </c>
      <c r="O31" s="5"/>
      <c r="P31" s="5"/>
    </row>
    <row r="32" spans="1:16">
      <c r="A32" s="5"/>
      <c r="B32" s="2">
        <v>14</v>
      </c>
      <c r="C32" s="5">
        <v>4</v>
      </c>
      <c r="D32" s="3" t="s">
        <v>10</v>
      </c>
      <c r="E32" s="19">
        <v>20190227014</v>
      </c>
      <c r="F32" s="3" t="s">
        <v>24</v>
      </c>
      <c r="G32" s="3">
        <v>7000</v>
      </c>
      <c r="H32" s="3"/>
      <c r="I32" s="3"/>
      <c r="J32" s="3"/>
      <c r="K32" s="3"/>
      <c r="L32" s="3">
        <v>3900</v>
      </c>
      <c r="M32" s="4">
        <f t="shared" si="1"/>
        <v>10900</v>
      </c>
      <c r="N32" s="5"/>
      <c r="O32" s="5"/>
      <c r="P32" s="5"/>
    </row>
    <row r="33" spans="1:16">
      <c r="A33" s="5"/>
      <c r="B33" s="2">
        <v>15</v>
      </c>
      <c r="C33" s="5">
        <v>4</v>
      </c>
      <c r="D33" s="3" t="s">
        <v>12</v>
      </c>
      <c r="E33" s="19">
        <v>20190227015</v>
      </c>
      <c r="F33" s="3" t="s">
        <v>25</v>
      </c>
      <c r="G33" s="3">
        <v>6500</v>
      </c>
      <c r="H33" s="3"/>
      <c r="I33" s="3"/>
      <c r="J33" s="3"/>
      <c r="K33" s="3"/>
      <c r="L33" s="3"/>
      <c r="M33" s="4">
        <f t="shared" si="1"/>
        <v>6500</v>
      </c>
      <c r="N33" s="5"/>
      <c r="O33" s="5"/>
      <c r="P33" s="5"/>
    </row>
    <row r="34" spans="1:16">
      <c r="A34" s="5"/>
      <c r="B34" s="2">
        <v>17</v>
      </c>
      <c r="C34" s="5">
        <v>4</v>
      </c>
      <c r="D34" s="3" t="s">
        <v>10</v>
      </c>
      <c r="E34" s="19">
        <v>20190227017</v>
      </c>
      <c r="F34" s="3" t="s">
        <v>26</v>
      </c>
      <c r="G34" s="3">
        <v>7000</v>
      </c>
      <c r="H34" s="3"/>
      <c r="I34" s="3"/>
      <c r="J34" s="3"/>
      <c r="K34" s="3"/>
      <c r="L34" s="3"/>
      <c r="M34" s="4">
        <f t="shared" si="1"/>
        <v>7000</v>
      </c>
      <c r="N34" s="5"/>
      <c r="O34" s="5"/>
      <c r="P34" s="5"/>
    </row>
    <row r="35" spans="1:16">
      <c r="A35" s="5"/>
      <c r="B35" s="2">
        <v>18</v>
      </c>
      <c r="C35" s="5">
        <v>4</v>
      </c>
      <c r="D35" s="3" t="s">
        <v>11</v>
      </c>
      <c r="E35" s="19">
        <v>20190227018</v>
      </c>
      <c r="F35" s="3" t="s">
        <v>27</v>
      </c>
      <c r="G35" s="3">
        <v>6500</v>
      </c>
      <c r="H35" s="3"/>
      <c r="I35" s="3"/>
      <c r="J35" s="3"/>
      <c r="K35" s="3"/>
      <c r="L35" s="3"/>
      <c r="M35" s="4">
        <f t="shared" si="1"/>
        <v>6500</v>
      </c>
      <c r="N35" s="5"/>
      <c r="O35" s="5"/>
      <c r="P35" s="5"/>
    </row>
    <row r="36" spans="1:16">
      <c r="A36" s="5"/>
      <c r="B36" s="2">
        <v>19</v>
      </c>
      <c r="C36" s="5">
        <v>4</v>
      </c>
      <c r="D36" s="3" t="s">
        <v>11</v>
      </c>
      <c r="E36" s="19">
        <v>20190227019</v>
      </c>
      <c r="F36" s="3" t="s">
        <v>28</v>
      </c>
      <c r="G36" s="3">
        <v>7000</v>
      </c>
      <c r="H36" s="3"/>
      <c r="I36" s="3"/>
      <c r="J36" s="3"/>
      <c r="K36" s="3"/>
      <c r="L36" s="3"/>
      <c r="M36" s="4">
        <f t="shared" si="1"/>
        <v>7000</v>
      </c>
      <c r="N36" s="5"/>
      <c r="O36" s="5"/>
      <c r="P36" s="5"/>
    </row>
    <row r="37" spans="1:16">
      <c r="A37" s="5"/>
      <c r="B37" s="2">
        <v>20</v>
      </c>
      <c r="C37" s="5">
        <v>4</v>
      </c>
      <c r="D37" s="3" t="s">
        <v>11</v>
      </c>
      <c r="E37" s="19">
        <v>20190227020</v>
      </c>
      <c r="F37" s="3" t="s">
        <v>29</v>
      </c>
      <c r="G37" s="3">
        <v>7000</v>
      </c>
      <c r="H37" s="3"/>
      <c r="I37" s="3"/>
      <c r="J37" s="3"/>
      <c r="K37" s="3"/>
      <c r="L37" s="3"/>
      <c r="M37" s="4">
        <f t="shared" si="1"/>
        <v>7000</v>
      </c>
      <c r="N37" s="5"/>
      <c r="O37" s="5"/>
      <c r="P37" s="5"/>
    </row>
    <row r="38" spans="1:16">
      <c r="A38" s="5"/>
      <c r="B38" s="2">
        <v>21</v>
      </c>
      <c r="C38" s="5">
        <v>4</v>
      </c>
      <c r="D38" s="3" t="s">
        <v>11</v>
      </c>
      <c r="E38" s="19">
        <v>20190227021</v>
      </c>
      <c r="F38" s="3" t="s">
        <v>30</v>
      </c>
      <c r="G38" s="12">
        <v>7000</v>
      </c>
      <c r="H38" s="5"/>
      <c r="I38" s="5"/>
      <c r="J38" s="5"/>
      <c r="K38" s="5"/>
      <c r="L38" s="5"/>
      <c r="M38" s="5">
        <f t="shared" si="1"/>
        <v>7000</v>
      </c>
      <c r="N38" s="5"/>
      <c r="O38" s="5"/>
      <c r="P38" s="5"/>
    </row>
    <row r="39" spans="1:16">
      <c r="A39" s="5"/>
      <c r="B39" s="2">
        <v>22</v>
      </c>
      <c r="C39" s="5">
        <v>4</v>
      </c>
      <c r="D39" s="3" t="s">
        <v>11</v>
      </c>
      <c r="E39" s="19">
        <v>20190227022</v>
      </c>
      <c r="F39" s="3" t="s">
        <v>31</v>
      </c>
      <c r="G39" s="12">
        <v>7000</v>
      </c>
      <c r="H39" s="5"/>
      <c r="I39" s="5"/>
      <c r="J39" s="5"/>
      <c r="K39" s="5"/>
      <c r="L39" s="5"/>
      <c r="M39" s="5">
        <f t="shared" si="1"/>
        <v>7000</v>
      </c>
      <c r="N39" s="5"/>
      <c r="O39" s="5"/>
      <c r="P39" s="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geShow">
                <anchor moveWithCells="1" sizeWithCells="1">
                  <from>
                    <xdr:col>16</xdr:col>
                    <xdr:colOff>304800</xdr:colOff>
                    <xdr:row>1</xdr:row>
                    <xdr:rowOff>0</xdr:rowOff>
                  </from>
                  <to>
                    <xdr:col>17</xdr:col>
                    <xdr:colOff>647700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0"/>
  <sheetViews>
    <sheetView workbookViewId="0">
      <selection activeCell="B3" sqref="B3"/>
    </sheetView>
  </sheetViews>
  <sheetFormatPr defaultColWidth="7.625" defaultRowHeight="12"/>
  <cols>
    <col min="1" max="3" width="7.625" style="7"/>
    <col min="4" max="4" width="11.5" style="7" customWidth="1"/>
    <col min="5" max="6" width="7.625" style="7"/>
    <col min="7" max="7" width="10.5" style="7" customWidth="1"/>
    <col min="8" max="16384" width="7.625" style="7"/>
  </cols>
  <sheetData>
    <row r="1" spans="1:7">
      <c r="A1" s="20"/>
    </row>
    <row r="3" spans="1:7">
      <c r="B3" s="22" t="s">
        <v>31</v>
      </c>
      <c r="C3" s="10" t="s">
        <v>49</v>
      </c>
      <c r="G3" s="8">
        <v>43543</v>
      </c>
    </row>
    <row r="4" spans="1:7">
      <c r="C4" s="13"/>
    </row>
    <row r="5" spans="1:7">
      <c r="C5" s="14">
        <v>3</v>
      </c>
      <c r="D5" s="7" t="s">
        <v>50</v>
      </c>
      <c r="E5" s="9">
        <v>7000</v>
      </c>
      <c r="F5" s="7" t="s">
        <v>32</v>
      </c>
    </row>
    <row r="7" spans="1:7" ht="19.5" customHeight="1">
      <c r="C7" s="7" t="s">
        <v>33</v>
      </c>
      <c r="D7" s="11" t="s">
        <v>34</v>
      </c>
      <c r="E7" s="6">
        <v>7000</v>
      </c>
      <c r="F7" s="7" t="s">
        <v>32</v>
      </c>
    </row>
    <row r="8" spans="1:7" ht="19.5" customHeight="1">
      <c r="D8" s="7" t="s">
        <v>35</v>
      </c>
      <c r="E8" s="6"/>
      <c r="F8" s="7" t="s">
        <v>32</v>
      </c>
    </row>
    <row r="9" spans="1:7" ht="19.5" customHeight="1">
      <c r="D9" s="7" t="s">
        <v>36</v>
      </c>
      <c r="E9" s="6"/>
      <c r="F9" s="7" t="s">
        <v>32</v>
      </c>
    </row>
    <row r="10" spans="1:7" ht="19.5" customHeight="1">
      <c r="D10" s="7" t="s">
        <v>38</v>
      </c>
      <c r="E10" s="6"/>
      <c r="F10" s="7" t="s">
        <v>32</v>
      </c>
    </row>
    <row r="11" spans="1:7" ht="19.5" customHeight="1">
      <c r="D11" s="7" t="s">
        <v>39</v>
      </c>
      <c r="E11" s="6"/>
      <c r="F11" s="7" t="s">
        <v>32</v>
      </c>
    </row>
    <row r="12" spans="1:7" ht="19.5" customHeight="1">
      <c r="D12" s="7" t="s">
        <v>40</v>
      </c>
      <c r="E12" s="6"/>
      <c r="F12" s="7" t="s">
        <v>32</v>
      </c>
    </row>
    <row r="14" spans="1:7" ht="9.9499999999999993" customHeight="1">
      <c r="B14" s="28" t="s">
        <v>37</v>
      </c>
      <c r="C14" s="28"/>
      <c r="D14" s="28"/>
      <c r="E14" s="28"/>
      <c r="F14" s="28"/>
      <c r="G14" s="28"/>
    </row>
    <row r="15" spans="1:7" ht="9.9499999999999993" customHeight="1">
      <c r="B15" s="28"/>
      <c r="C15" s="28"/>
      <c r="D15" s="28"/>
      <c r="E15" s="28"/>
      <c r="F15" s="28"/>
      <c r="G15" s="28"/>
    </row>
    <row r="16" spans="1:7" ht="9.9499999999999993" customHeight="1">
      <c r="B16" s="28"/>
      <c r="C16" s="28"/>
      <c r="D16" s="28"/>
      <c r="E16" s="28"/>
      <c r="F16" s="28"/>
      <c r="G16" s="28"/>
    </row>
    <row r="17" spans="2:7" ht="9.9499999999999993" customHeight="1">
      <c r="B17" s="28"/>
      <c r="C17" s="28"/>
      <c r="D17" s="28"/>
      <c r="E17" s="28"/>
      <c r="F17" s="28"/>
      <c r="G17" s="28"/>
    </row>
    <row r="19" spans="2:7">
      <c r="G19" s="7" t="str">
        <f>設定!C2&amp;"音楽教室"</f>
        <v>新小岩音楽教室</v>
      </c>
    </row>
    <row r="20" spans="2:7">
      <c r="G20" s="7" t="str">
        <f>"TEL："&amp;設定!C3</f>
        <v>TEL：03-2345-6578</v>
      </c>
    </row>
  </sheetData>
  <mergeCells count="1">
    <mergeCell ref="B14:G1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othprint.othprint">
                <anchor moveWithCells="1" sizeWithCells="1">
                  <from>
                    <xdr:col>8</xdr:col>
                    <xdr:colOff>247650</xdr:colOff>
                    <xdr:row>1</xdr:row>
                    <xdr:rowOff>85725</xdr:rowOff>
                  </from>
                  <to>
                    <xdr:col>9</xdr:col>
                    <xdr:colOff>800100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3"/>
  <sheetViews>
    <sheetView workbookViewId="0">
      <selection activeCell="B4" sqref="B4"/>
    </sheetView>
  </sheetViews>
  <sheetFormatPr defaultRowHeight="13.5"/>
  <cols>
    <col min="2" max="2" width="13" bestFit="1" customWidth="1"/>
    <col min="3" max="3" width="13.875" bestFit="1" customWidth="1"/>
  </cols>
  <sheetData>
    <row r="2" spans="2:3">
      <c r="B2" t="s">
        <v>42</v>
      </c>
      <c r="C2" t="s">
        <v>43</v>
      </c>
    </row>
    <row r="3" spans="2:3">
      <c r="B3" t="s">
        <v>44</v>
      </c>
      <c r="C3" t="s">
        <v>45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workbookViewId="0">
      <selection activeCell="C3" sqref="C3"/>
    </sheetView>
  </sheetViews>
  <sheetFormatPr defaultRowHeight="13.5"/>
  <cols>
    <col min="1" max="1" width="9.5" bestFit="1" customWidth="1"/>
    <col min="2" max="2" width="10.25" bestFit="1" customWidth="1"/>
    <col min="3" max="3" width="6.375" bestFit="1" customWidth="1"/>
  </cols>
  <sheetData>
    <row r="1" spans="1:4">
      <c r="A1" t="s">
        <v>48</v>
      </c>
      <c r="B1" t="s">
        <v>47</v>
      </c>
      <c r="C1" t="s">
        <v>46</v>
      </c>
      <c r="D1" t="s">
        <v>60</v>
      </c>
    </row>
    <row r="2" spans="1:4">
      <c r="A2" s="15">
        <v>43528</v>
      </c>
      <c r="B2" s="16">
        <v>43497</v>
      </c>
      <c r="C2" t="s">
        <v>55</v>
      </c>
    </row>
    <row r="3" spans="1:4">
      <c r="A3" s="15"/>
      <c r="B3" s="17"/>
    </row>
    <row r="4" spans="1:4">
      <c r="A4" s="15"/>
      <c r="B4" s="17"/>
    </row>
  </sheetData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0"/>
  <sheetViews>
    <sheetView workbookViewId="0">
      <selection activeCell="C9" sqref="C9"/>
    </sheetView>
  </sheetViews>
  <sheetFormatPr defaultRowHeight="13.5"/>
  <cols>
    <col min="1" max="3" width="9" style="1"/>
    <col min="4" max="4" width="13.5" style="1" bestFit="1" customWidth="1"/>
    <col min="5" max="5" width="9" style="1"/>
    <col min="6" max="6" width="10.5" bestFit="1" customWidth="1"/>
    <col min="10" max="10" width="11.375" customWidth="1"/>
  </cols>
  <sheetData>
    <row r="1" spans="1:12">
      <c r="A1" s="2" t="s">
        <v>0</v>
      </c>
      <c r="B1" s="5" t="s">
        <v>54</v>
      </c>
      <c r="C1" s="3" t="s">
        <v>41</v>
      </c>
      <c r="D1" s="5" t="s">
        <v>51</v>
      </c>
      <c r="E1" s="12" t="s">
        <v>1</v>
      </c>
      <c r="F1" s="23" t="s">
        <v>61</v>
      </c>
      <c r="G1" s="23" t="s">
        <v>62</v>
      </c>
      <c r="H1" s="23" t="s">
        <v>63</v>
      </c>
      <c r="I1" s="23" t="s">
        <v>64</v>
      </c>
      <c r="J1" s="23" t="s">
        <v>65</v>
      </c>
      <c r="K1" s="23" t="s">
        <v>66</v>
      </c>
      <c r="L1" s="23" t="s">
        <v>67</v>
      </c>
    </row>
    <row r="2" spans="1:12">
      <c r="A2" s="2">
        <v>1</v>
      </c>
      <c r="B2" s="5">
        <v>3</v>
      </c>
      <c r="C2" s="3" t="s">
        <v>9</v>
      </c>
      <c r="D2" s="19">
        <v>20190227003</v>
      </c>
      <c r="E2" s="12" t="s">
        <v>13</v>
      </c>
      <c r="F2" s="25">
        <v>43542</v>
      </c>
      <c r="G2" s="26">
        <v>0.41666666666666669</v>
      </c>
      <c r="H2" s="26">
        <v>0.4375</v>
      </c>
      <c r="I2" s="24"/>
      <c r="J2" s="24"/>
      <c r="K2" s="27">
        <v>43535</v>
      </c>
      <c r="L2" s="24"/>
    </row>
    <row r="3" spans="1:12">
      <c r="A3" s="2">
        <v>2</v>
      </c>
      <c r="B3" s="5">
        <v>3</v>
      </c>
      <c r="C3" s="3" t="s">
        <v>9</v>
      </c>
      <c r="D3" s="19">
        <v>20190227004</v>
      </c>
      <c r="E3" s="12" t="s">
        <v>14</v>
      </c>
      <c r="F3" s="25">
        <v>43542</v>
      </c>
      <c r="G3" s="26">
        <v>0.41666666666666669</v>
      </c>
      <c r="H3" s="26">
        <v>0.4375</v>
      </c>
      <c r="I3" s="24"/>
      <c r="J3" s="24"/>
      <c r="K3" s="27">
        <v>43535</v>
      </c>
      <c r="L3" s="24"/>
    </row>
    <row r="4" spans="1:12">
      <c r="A4" s="2">
        <v>3</v>
      </c>
      <c r="B4" s="5">
        <v>3</v>
      </c>
      <c r="C4" s="3" t="s">
        <v>9</v>
      </c>
      <c r="D4" s="19">
        <v>20190227005</v>
      </c>
      <c r="E4" s="12" t="s">
        <v>15</v>
      </c>
      <c r="F4" s="25">
        <v>43542</v>
      </c>
      <c r="G4" s="26">
        <v>0.41666666666666669</v>
      </c>
      <c r="H4" s="26">
        <v>0.4375</v>
      </c>
      <c r="I4" s="24"/>
      <c r="J4" s="24"/>
      <c r="K4" s="27">
        <v>43535</v>
      </c>
      <c r="L4" s="24"/>
    </row>
    <row r="5" spans="1:12">
      <c r="A5" s="2">
        <v>1</v>
      </c>
      <c r="B5" s="5">
        <v>3</v>
      </c>
      <c r="C5" s="3" t="s">
        <v>9</v>
      </c>
      <c r="D5" s="19">
        <v>20190227003</v>
      </c>
      <c r="E5" s="12" t="s">
        <v>13</v>
      </c>
      <c r="F5" s="25">
        <v>43543</v>
      </c>
      <c r="G5" s="26">
        <v>0.41666666666666669</v>
      </c>
      <c r="H5" s="26">
        <v>0.4375</v>
      </c>
      <c r="I5" s="24"/>
      <c r="J5" s="24"/>
      <c r="K5" s="27">
        <v>43535</v>
      </c>
      <c r="L5" s="24"/>
    </row>
    <row r="6" spans="1:12">
      <c r="A6" s="2">
        <v>2</v>
      </c>
      <c r="B6" s="5">
        <v>3</v>
      </c>
      <c r="C6" s="3" t="s">
        <v>9</v>
      </c>
      <c r="D6" s="19">
        <v>20190227004</v>
      </c>
      <c r="E6" s="12" t="s">
        <v>14</v>
      </c>
      <c r="F6" s="25">
        <v>43543</v>
      </c>
      <c r="G6" s="26">
        <v>0.41666666666666669</v>
      </c>
      <c r="H6" s="26">
        <v>0.4375</v>
      </c>
      <c r="I6" s="24"/>
      <c r="J6" s="24"/>
      <c r="K6" s="27">
        <v>43535</v>
      </c>
      <c r="L6" s="24"/>
    </row>
    <row r="7" spans="1:12">
      <c r="A7" s="2">
        <v>3</v>
      </c>
      <c r="B7" s="5">
        <v>3</v>
      </c>
      <c r="C7" s="3" t="s">
        <v>9</v>
      </c>
      <c r="D7" s="19">
        <v>20190227005</v>
      </c>
      <c r="E7" s="12" t="s">
        <v>15</v>
      </c>
      <c r="F7" s="25">
        <v>43543</v>
      </c>
      <c r="G7" s="26">
        <v>0.41666666666666669</v>
      </c>
      <c r="H7" s="26">
        <v>0.4375</v>
      </c>
      <c r="I7" s="24"/>
      <c r="J7" s="24"/>
      <c r="K7" s="27">
        <v>43535</v>
      </c>
      <c r="L7" s="24"/>
    </row>
    <row r="8" spans="1:12">
      <c r="A8"/>
      <c r="B8"/>
      <c r="C8"/>
      <c r="D8"/>
      <c r="E8"/>
    </row>
    <row r="9" spans="1:12">
      <c r="A9"/>
      <c r="B9"/>
      <c r="C9"/>
      <c r="D9"/>
      <c r="E9"/>
    </row>
    <row r="10" spans="1:12">
      <c r="A10"/>
      <c r="B10"/>
      <c r="C10"/>
      <c r="D10"/>
      <c r="E10"/>
    </row>
    <row r="11" spans="1:12">
      <c r="A11"/>
      <c r="B11"/>
      <c r="C11"/>
      <c r="D11"/>
      <c r="E11"/>
    </row>
    <row r="12" spans="1:12">
      <c r="A12"/>
      <c r="B12"/>
      <c r="C12"/>
      <c r="D12"/>
      <c r="E12"/>
    </row>
    <row r="13" spans="1:12">
      <c r="A13"/>
      <c r="B13"/>
      <c r="C13"/>
      <c r="D13"/>
      <c r="E13"/>
    </row>
    <row r="14" spans="1:12">
      <c r="A14"/>
      <c r="B14"/>
      <c r="C14"/>
      <c r="D14"/>
      <c r="E14"/>
    </row>
    <row r="15" spans="1:12">
      <c r="A15"/>
      <c r="B15"/>
      <c r="C15"/>
      <c r="D15"/>
      <c r="E15"/>
    </row>
    <row r="16" spans="1:12">
      <c r="A16"/>
      <c r="B16"/>
      <c r="C16"/>
      <c r="D16"/>
      <c r="E16"/>
    </row>
    <row r="17" spans="1:5">
      <c r="A17"/>
      <c r="B17"/>
      <c r="C17"/>
      <c r="D17"/>
      <c r="E17"/>
    </row>
    <row r="18" spans="1:5">
      <c r="A18"/>
      <c r="B18"/>
      <c r="C18"/>
      <c r="D18"/>
      <c r="E18"/>
    </row>
    <row r="19" spans="1:5">
      <c r="A19"/>
      <c r="B19"/>
      <c r="C19"/>
      <c r="D19"/>
      <c r="E19"/>
    </row>
    <row r="20" spans="1:5">
      <c r="A20"/>
      <c r="B20"/>
      <c r="C20"/>
      <c r="D20"/>
      <c r="E20"/>
    </row>
  </sheetData>
  <phoneticPr fontId="4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0"/>
  <sheetViews>
    <sheetView workbookViewId="0">
      <selection activeCell="K11" sqref="K11"/>
    </sheetView>
  </sheetViews>
  <sheetFormatPr defaultRowHeight="13.5"/>
  <sheetData>
    <row r="1" spans="2:9">
      <c r="B1" t="s">
        <v>80</v>
      </c>
      <c r="C1" t="s">
        <v>68</v>
      </c>
    </row>
    <row r="2" spans="2:9">
      <c r="B2" s="15">
        <v>43542</v>
      </c>
      <c r="C2" t="s">
        <v>72</v>
      </c>
    </row>
    <row r="3" spans="2:9">
      <c r="B3">
        <v>3</v>
      </c>
      <c r="C3" t="s">
        <v>71</v>
      </c>
    </row>
    <row r="4" spans="2:9">
      <c r="B4" t="s">
        <v>69</v>
      </c>
      <c r="C4" t="s">
        <v>61</v>
      </c>
      <c r="D4" t="s">
        <v>75</v>
      </c>
      <c r="E4" t="s">
        <v>73</v>
      </c>
      <c r="F4" t="s">
        <v>74</v>
      </c>
      <c r="G4" t="s">
        <v>76</v>
      </c>
      <c r="H4" t="s">
        <v>77</v>
      </c>
      <c r="I4" t="s">
        <v>78</v>
      </c>
    </row>
    <row r="5" spans="2:9">
      <c r="B5">
        <v>1</v>
      </c>
      <c r="C5" t="s">
        <v>79</v>
      </c>
      <c r="D5" t="s">
        <v>70</v>
      </c>
      <c r="E5">
        <v>0.41666666666666702</v>
      </c>
      <c r="F5">
        <v>0.4375</v>
      </c>
      <c r="H5" s="15">
        <v>43535</v>
      </c>
    </row>
    <row r="6" spans="2:9">
      <c r="B6">
        <v>2</v>
      </c>
      <c r="C6" t="s">
        <v>81</v>
      </c>
      <c r="D6" t="s">
        <v>70</v>
      </c>
      <c r="E6">
        <v>0.41666666666666702</v>
      </c>
      <c r="F6">
        <v>0.4375</v>
      </c>
      <c r="H6" s="15">
        <v>43535</v>
      </c>
    </row>
    <row r="7" spans="2:9">
      <c r="B7">
        <v>3</v>
      </c>
      <c r="C7" t="s">
        <v>82</v>
      </c>
      <c r="D7" t="s">
        <v>70</v>
      </c>
      <c r="E7">
        <v>0.41666666666666702</v>
      </c>
      <c r="F7">
        <v>0.4375</v>
      </c>
      <c r="H7" s="15">
        <v>43535</v>
      </c>
    </row>
    <row r="8" spans="2:9">
      <c r="B8">
        <v>1</v>
      </c>
      <c r="C8" t="s">
        <v>79</v>
      </c>
      <c r="D8" t="s">
        <v>70</v>
      </c>
      <c r="E8">
        <v>0.41666666666666702</v>
      </c>
      <c r="F8">
        <v>0.4375</v>
      </c>
      <c r="H8" s="15">
        <v>43535</v>
      </c>
    </row>
    <row r="9" spans="2:9">
      <c r="B9">
        <v>2</v>
      </c>
      <c r="C9" t="s">
        <v>81</v>
      </c>
      <c r="D9" t="s">
        <v>70</v>
      </c>
      <c r="E9">
        <v>0.41666666666666702</v>
      </c>
      <c r="F9">
        <v>0.4375</v>
      </c>
      <c r="H9" s="15">
        <v>43535</v>
      </c>
    </row>
    <row r="10" spans="2:9">
      <c r="B10">
        <v>3</v>
      </c>
      <c r="C10" t="s">
        <v>82</v>
      </c>
      <c r="D10" t="s">
        <v>70</v>
      </c>
      <c r="E10">
        <v>0.41666666666666702</v>
      </c>
      <c r="F10">
        <v>0.4375</v>
      </c>
      <c r="H10" s="15">
        <v>43535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費用登録</vt:lpstr>
      <vt:lpstr>印刷</vt:lpstr>
      <vt:lpstr>設定</vt:lpstr>
      <vt:lpstr>印刷状況</vt:lpstr>
      <vt:lpstr>スケジュール</vt:lpstr>
      <vt:lpstr>スケジュール印刷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金小剛</cp:lastModifiedBy>
  <cp:lastPrinted>2019-03-19T02:54:41Z</cp:lastPrinted>
  <dcterms:created xsi:type="dcterms:W3CDTF">2019-02-08T02:11:18Z</dcterms:created>
  <dcterms:modified xsi:type="dcterms:W3CDTF">2019-03-19T03:07:14Z</dcterms:modified>
</cp:coreProperties>
</file>